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ulgarciaalonso/Desktop/FUTBOL 7 25-26/"/>
    </mc:Choice>
  </mc:AlternateContent>
  <xr:revisionPtr revIDLastSave="0" documentId="13_ncr:1_{3D52DEAE-3CB5-4E4A-816D-E1ECA9CE4285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GOLES - 4M 2025_2026" sheetId="1" r:id="rId1"/>
  </sheets>
  <definedNames>
    <definedName name="B">'GOLES - 4M 2025_2026'!$C:$C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" i="1" l="1"/>
  <c r="AB14" i="1"/>
  <c r="AB13" i="1"/>
  <c r="AB11" i="1"/>
  <c r="AB9" i="1"/>
  <c r="AB8" i="1"/>
  <c r="AB7" i="1"/>
  <c r="AB6" i="1"/>
  <c r="AB5" i="1"/>
  <c r="AB4" i="1"/>
  <c r="AB3" i="1"/>
  <c r="Y17" i="1"/>
  <c r="Y15" i="1"/>
  <c r="H20" i="1"/>
  <c r="G20" i="1"/>
  <c r="F20" i="1"/>
  <c r="Y13" i="1"/>
  <c r="Y12" i="1"/>
  <c r="Y3" i="1"/>
  <c r="Y4" i="1"/>
  <c r="Y5" i="1"/>
  <c r="Y6" i="1"/>
  <c r="Y7" i="1"/>
  <c r="Y8" i="1"/>
  <c r="Y9" i="1"/>
  <c r="Y10" i="1"/>
  <c r="Y11" i="1"/>
  <c r="Y14" i="1"/>
  <c r="Y20" i="1" l="1"/>
</calcChain>
</file>

<file path=xl/sharedStrings.xml><?xml version="1.0" encoding="utf-8"?>
<sst xmlns="http://schemas.openxmlformats.org/spreadsheetml/2006/main" count="253" uniqueCount="88">
  <si>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</si>
  <si>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</si>
  <si>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</si>
  <si>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</si>
  <si>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</si>
  <si>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</si>
  <si>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</si>
  <si>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</si>
  <si>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</si>
  <si>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</si>
  <si>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</si>
  <si>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</si>
  <si>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</si>
  <si>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</si>
  <si>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</si>
  <si>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TOTAL</t>
  </si>
  <si>
    <t>J1</t>
  </si>
  <si>
    <t>J17</t>
  </si>
  <si>
    <t>J18</t>
  </si>
  <si>
    <t>J19</t>
  </si>
  <si>
    <t>J20</t>
  </si>
  <si>
    <t>J21</t>
  </si>
  <si>
    <t>J22</t>
  </si>
  <si>
    <t>PARTIDOS JUGADOS</t>
  </si>
  <si>
    <t>GOL POR PARTIDO</t>
  </si>
  <si>
    <t>SEGUNDA VUELTA</t>
  </si>
  <si>
    <t>GOLES EN CONTRA</t>
  </si>
  <si>
    <t>PORTERIAS A 0</t>
  </si>
  <si>
    <t>ENTRENADORES</t>
  </si>
  <si>
    <t>4M DRINK TEAM 2025/2026</t>
  </si>
  <si>
    <t>DELMAZ</t>
  </si>
  <si>
    <t>MORE</t>
  </si>
  <si>
    <t>MOHA</t>
  </si>
  <si>
    <t>ALEX</t>
  </si>
  <si>
    <t>ALVARO</t>
  </si>
  <si>
    <t>RAUL</t>
  </si>
  <si>
    <t>CODE</t>
  </si>
  <si>
    <t>BARBAS</t>
  </si>
  <si>
    <t>SANTA PUNK</t>
  </si>
  <si>
    <t>IGNA</t>
  </si>
  <si>
    <t>VELEZ</t>
  </si>
  <si>
    <t xml:space="preserve">ISOTOPOS DE VILLAVERDE </t>
  </si>
  <si>
    <t>DENIS</t>
  </si>
  <si>
    <t xml:space="preserve">MOHA </t>
  </si>
  <si>
    <t xml:space="preserve">MORE </t>
  </si>
  <si>
    <t>DESERTORES</t>
  </si>
  <si>
    <t>INAFUMA Y BEBEN</t>
  </si>
  <si>
    <t>WEEDCOUSINS FC</t>
  </si>
  <si>
    <t>BARRY TEAM</t>
  </si>
  <si>
    <t>JARRA Y PEDAL FC</t>
  </si>
  <si>
    <t>OLD TEAM C.F</t>
  </si>
  <si>
    <t>RECREATIVO SAN FERMIN</t>
  </si>
  <si>
    <t>U.D MASPALOMAS</t>
  </si>
  <si>
    <t>SEMIBUENOS</t>
  </si>
  <si>
    <t>TEGNIBOX CS</t>
  </si>
  <si>
    <t>SOULAPIPA  C.D.F</t>
  </si>
  <si>
    <t xml:space="preserve">BARBAS  </t>
  </si>
  <si>
    <t>RESULTADO</t>
  </si>
  <si>
    <t>CACHARROVICK III</t>
  </si>
  <si>
    <t>FOLLAPU PARERA</t>
  </si>
  <si>
    <t>MAMELUKO DESLECHADO</t>
  </si>
  <si>
    <t>AGRADECIMIENTOS</t>
  </si>
  <si>
    <t>RODRIGO Y SU BENDITA MADRE</t>
  </si>
  <si>
    <t>MI ABUELO EL DELO</t>
  </si>
  <si>
    <t>CUBATRON PIZZERO</t>
  </si>
  <si>
    <t>EL BIGOTES CON AUDI</t>
  </si>
  <si>
    <t>X</t>
  </si>
  <si>
    <t>MARCO</t>
  </si>
  <si>
    <t>1-2</t>
  </si>
  <si>
    <t>JAVI</t>
  </si>
  <si>
    <t>3-5</t>
  </si>
  <si>
    <t>5-0</t>
  </si>
  <si>
    <t>6-5</t>
  </si>
  <si>
    <t>LA CHUPONA</t>
  </si>
  <si>
    <t>2-7</t>
  </si>
  <si>
    <t>5-5</t>
  </si>
  <si>
    <t>RUBEN</t>
  </si>
  <si>
    <t>3-4</t>
  </si>
  <si>
    <t>4-6</t>
  </si>
  <si>
    <t>OTROS</t>
  </si>
  <si>
    <t>0-6</t>
  </si>
  <si>
    <t>NO PRESENTADO</t>
  </si>
  <si>
    <t>1-5</t>
  </si>
  <si>
    <t>x</t>
  </si>
  <si>
    <t>6-1</t>
  </si>
  <si>
    <t>4-5</t>
  </si>
  <si>
    <t>10-6</t>
  </si>
  <si>
    <t>GUILLE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</si>
</sst>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b/>
      <sz val="10"/>
      <color rgb="FF000000"/>
      <name val="Helvetica Neue"/>
      <family val="2"/>
    </font>
    <font>
      <b/>
      <sz val="22"/>
      <color indexed="8"/>
      <name val="Helvetica Neue"/>
      <family val="2"/>
    </font>
    <font>
      <b/>
      <sz val="14"/>
      <color indexed="8"/>
      <name val="Helvetica Neue"/>
      <family val="2"/>
    </font>
    <font>
      <sz val="10"/>
      <color rgb="FF000000"/>
      <name val="Helvetica Neue"/>
      <family val="2"/>
    </font>
    <font>
      <b/>
      <sz val="26"/>
      <color indexed="8"/>
      <name val="Helvetica Neue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DBDBDB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B7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F47E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B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theme="0" tint="-0.14999847407452621"/>
      </bottom>
      <diagonal/>
    </border>
    <border>
      <left style="thin">
        <color indexed="11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10"/>
      </top>
      <bottom/>
      <diagonal/>
    </border>
    <border>
      <left style="thin">
        <color indexed="11"/>
      </left>
      <right style="thin">
        <color indexed="64"/>
      </right>
      <top/>
      <bottom/>
      <diagonal/>
    </border>
    <border>
      <left style="thin">
        <color indexed="1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0" borderId="0" xfId="0" applyNumberFormat="1" applyAlignment="1">
      <alignment horizontal="center" vertical="top" wrapText="1"/>
    </xf>
    <xf numFmtId="0" fontId="0" fillId="0" borderId="5" xfId="0" applyNumberFormat="1" applyBorder="1" applyAlignment="1">
      <alignment horizontal="center" vertical="top" wrapText="1"/>
    </xf>
    <xf numFmtId="0" fontId="1" fillId="0" borderId="5" xfId="0" applyNumberFormat="1" applyFont="1" applyBorder="1">
      <alignment vertical="top" wrapText="1"/>
    </xf>
    <xf numFmtId="49" fontId="1" fillId="2" borderId="5" xfId="0" applyNumberFormat="1" applyFont="1" applyFill="1" applyBorder="1" applyAlignment="1">
      <alignment horizontal="center" vertical="top" wrapText="1"/>
    </xf>
    <xf numFmtId="2" fontId="0" fillId="0" borderId="5" xfId="0" applyNumberFormat="1" applyBorder="1" applyAlignment="1">
      <alignment horizontal="center" vertical="top" wrapText="1"/>
    </xf>
    <xf numFmtId="0" fontId="4" fillId="6" borderId="5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top" wrapText="1"/>
    </xf>
    <xf numFmtId="0" fontId="1" fillId="7" borderId="5" xfId="0" applyNumberFormat="1" applyFont="1" applyFill="1" applyBorder="1" applyAlignment="1">
      <alignment horizontal="center" vertical="top" wrapText="1"/>
    </xf>
    <xf numFmtId="0" fontId="1" fillId="0" borderId="0" xfId="0" applyNumberFormat="1" applyFont="1">
      <alignment vertical="top" wrapText="1"/>
    </xf>
    <xf numFmtId="0" fontId="1" fillId="0" borderId="0" xfId="0" applyNumberFormat="1" applyFont="1" applyBorder="1">
      <alignment vertical="top" wrapText="1"/>
    </xf>
    <xf numFmtId="0" fontId="4" fillId="8" borderId="5" xfId="0" applyNumberFormat="1" applyFont="1" applyFill="1" applyBorder="1">
      <alignment vertical="top" wrapText="1"/>
    </xf>
    <xf numFmtId="2" fontId="0" fillId="0" borderId="5" xfId="0" applyNumberForma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49" fontId="1" fillId="3" borderId="11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14" fontId="6" fillId="0" borderId="21" xfId="0" applyNumberFormat="1" applyFont="1" applyBorder="1" applyAlignment="1">
      <alignment vertical="top" textRotation="90" wrapText="1"/>
    </xf>
    <xf numFmtId="14" fontId="6" fillId="0" borderId="23" xfId="0" applyNumberFormat="1" applyFont="1" applyBorder="1" applyAlignment="1">
      <alignment vertical="top" textRotation="90" wrapText="1"/>
    </xf>
    <xf numFmtId="14" fontId="6" fillId="0" borderId="24" xfId="0" applyNumberFormat="1" applyFont="1" applyBorder="1" applyAlignment="1">
      <alignment vertical="top" textRotation="90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0" fillId="0" borderId="25" xfId="0" applyNumberFormat="1" applyBorder="1" applyAlignment="1">
      <alignment horizontal="center" vertical="center" wrapText="1"/>
    </xf>
    <xf numFmtId="0" fontId="2" fillId="0" borderId="0" xfId="0" applyNumberFormat="1" applyFont="1">
      <alignment vertical="top" wrapText="1"/>
    </xf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0" fontId="4" fillId="11" borderId="5" xfId="0" applyNumberFormat="1" applyFont="1" applyFill="1" applyBorder="1" applyAlignment="1">
      <alignment horizontal="center" vertical="top" wrapText="1"/>
    </xf>
    <xf numFmtId="0" fontId="4" fillId="8" borderId="30" xfId="0" applyNumberFormat="1" applyFont="1" applyFill="1" applyBorder="1">
      <alignment vertical="top" wrapText="1"/>
    </xf>
    <xf numFmtId="0" fontId="4" fillId="0" borderId="5" xfId="0" applyNumberFormat="1" applyFont="1" applyBorder="1">
      <alignment vertical="top" wrapText="1"/>
    </xf>
    <xf numFmtId="0" fontId="7" fillId="0" borderId="0" xfId="0" applyFont="1">
      <alignment vertical="top" wrapText="1"/>
    </xf>
    <xf numFmtId="0" fontId="0" fillId="0" borderId="0" xfId="0" applyBorder="1" applyAlignment="1">
      <alignment horizontal="center" vertical="center" wrapText="1"/>
    </xf>
    <xf numFmtId="0" fontId="0" fillId="0" borderId="34" xfId="0" applyNumberForma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49" fontId="2" fillId="12" borderId="5" xfId="0" applyNumberFormat="1" applyFont="1" applyFill="1" applyBorder="1" applyAlignment="1">
      <alignment horizontal="center" vertical="top" wrapText="1"/>
    </xf>
    <xf numFmtId="49" fontId="2" fillId="13" borderId="5" xfId="0" applyNumberFormat="1" applyFont="1" applyFill="1" applyBorder="1" applyAlignment="1">
      <alignment horizontal="center" vertical="top" wrapText="1"/>
    </xf>
    <xf numFmtId="49" fontId="0" fillId="0" borderId="5" xfId="0" applyNumberFormat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textRotation="255" wrapText="1"/>
    </xf>
    <xf numFmtId="49" fontId="2" fillId="14" borderId="5" xfId="0" applyNumberFormat="1" applyFont="1" applyFill="1" applyBorder="1" applyAlignment="1">
      <alignment horizontal="center" vertical="top" wrapText="1"/>
    </xf>
    <xf numFmtId="49" fontId="2" fillId="15" borderId="5" xfId="0" applyNumberFormat="1" applyFont="1" applyFill="1" applyBorder="1" applyAlignment="1">
      <alignment horizontal="center" vertical="top" wrapText="1"/>
    </xf>
    <xf numFmtId="0" fontId="4" fillId="8" borderId="0" xfId="0" applyNumberFormat="1" applyFont="1" applyFill="1" applyBorder="1">
      <alignment vertical="top" wrapText="1"/>
    </xf>
    <xf numFmtId="49" fontId="2" fillId="14" borderId="30" xfId="0" applyNumberFormat="1" applyFont="1" applyFill="1" applyBorder="1" applyAlignment="1">
      <alignment horizontal="center" vertical="top" wrapText="1"/>
    </xf>
    <xf numFmtId="49" fontId="2" fillId="13" borderId="39" xfId="0" applyNumberFormat="1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 textRotation="90" wrapText="1"/>
    </xf>
    <xf numFmtId="0" fontId="1" fillId="0" borderId="27" xfId="0" applyFont="1" applyBorder="1" applyAlignment="1">
      <alignment horizontal="center" vertical="center" textRotation="90" wrapText="1"/>
    </xf>
    <xf numFmtId="0" fontId="1" fillId="0" borderId="28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  <xf numFmtId="0" fontId="1" fillId="0" borderId="29" xfId="0" applyFont="1" applyBorder="1" applyAlignment="1">
      <alignment horizontal="center" vertical="center" textRotation="90" wrapText="1"/>
    </xf>
    <xf numFmtId="0" fontId="1" fillId="0" borderId="36" xfId="0" applyFont="1" applyBorder="1" applyAlignment="1">
      <alignment horizontal="center" vertical="center" textRotation="90" wrapText="1"/>
    </xf>
    <xf numFmtId="0" fontId="1" fillId="0" borderId="37" xfId="0" applyFont="1" applyBorder="1" applyAlignment="1">
      <alignment horizontal="center" vertical="center" textRotation="90" wrapText="1"/>
    </xf>
    <xf numFmtId="0" fontId="1" fillId="0" borderId="38" xfId="0" applyFont="1" applyBorder="1" applyAlignment="1">
      <alignment horizontal="center" vertical="center" textRotation="90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49" fontId="8" fillId="10" borderId="5" xfId="0" applyNumberFormat="1" applyFont="1" applyFill="1" applyBorder="1" applyAlignment="1">
      <alignment horizontal="center" vertical="center" textRotation="90" wrapText="1"/>
    </xf>
    <xf numFmtId="0" fontId="0" fillId="9" borderId="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textRotation="90" wrapText="1"/>
    </xf>
    <xf numFmtId="0" fontId="1" fillId="0" borderId="32" xfId="0" applyFont="1" applyBorder="1" applyAlignment="1">
      <alignment horizontal="center" vertical="center" textRotation="90" wrapText="1"/>
    </xf>
    <xf numFmtId="0" fontId="1" fillId="0" borderId="33" xfId="0" applyFont="1" applyBorder="1" applyAlignment="1">
      <alignment horizontal="center" vertical="center" textRotation="90" wrapText="1"/>
    </xf>
    <xf numFmtId="0" fontId="2" fillId="0" borderId="40" xfId="0" applyFont="1" applyBorder="1" applyAlignment="1">
      <alignment horizontal="center" vertical="center" textRotation="255" wrapText="1"/>
    </xf>
    <xf numFmtId="0" fontId="2" fillId="0" borderId="41" xfId="0" applyFont="1" applyBorder="1" applyAlignment="1">
      <alignment horizontal="center" vertical="center" textRotation="255" wrapText="1"/>
    </xf>
    <xf numFmtId="0" fontId="2" fillId="0" borderId="42" xfId="0" applyFont="1" applyBorder="1" applyAlignment="1">
      <alignment horizontal="center" vertical="center" textRotation="255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60D8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B7"/>
      <color rgb="FFBEC0BF"/>
      <color rgb="FFDF47E9"/>
      <color rgb="FFDBDBDB"/>
      <color rgb="FFB7B9B8"/>
      <color rgb="FFE2A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15488</xdr:colOff>
      <xdr:row>28</xdr:row>
      <xdr:rowOff>150476</xdr:rowOff>
    </xdr:from>
    <xdr:to>
      <xdr:col>0</xdr:col>
      <xdr:colOff>1285488</xdr:colOff>
      <xdr:row>29</xdr:row>
      <xdr:rowOff>46463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677CD5-BC5F-C4B8-10D0-692352AC5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88" y="5973891"/>
          <a:ext cx="1270000" cy="949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showGridLines="0" tabSelected="1" zoomScale="75" zoomScaleNormal="83" workbookViewId="0">
      <pane xSplit="1" ySplit="2" topLeftCell="B3" activePane="bottomRight" state="frozen"/>
      <selection pane="topRight"/>
      <selection pane="bottomLeft"/>
      <selection pane="bottomRight" activeCell="AA29" sqref="AA29"/>
    </sheetView>
  </sheetViews>
  <sheetFormatPr baseColWidth="10" defaultColWidth="16.33203125" defaultRowHeight="20" customHeight="1" x14ac:dyDescent="0.15"/>
  <cols>
    <col min="1" max="1" width="18.1640625" style="1" customWidth="1"/>
    <col min="2" max="2" width="3.6640625" style="1" customWidth="1"/>
    <col min="3" max="10" width="3.33203125" style="1" customWidth="1"/>
    <col min="11" max="11" width="4.33203125" style="1" customWidth="1"/>
    <col min="12" max="12" width="3.83203125" style="1" customWidth="1"/>
    <col min="13" max="13" width="6.6640625" style="1" customWidth="1"/>
    <col min="14" max="15" width="4.33203125" style="1" customWidth="1"/>
    <col min="16" max="16" width="4.6640625" style="1" customWidth="1"/>
    <col min="17" max="17" width="3.6640625" style="1" customWidth="1"/>
    <col min="18" max="18" width="3.83203125" style="1" customWidth="1"/>
    <col min="19" max="19" width="4.6640625" style="1" customWidth="1"/>
    <col min="20" max="20" width="4.1640625" style="1" customWidth="1"/>
    <col min="21" max="24" width="4.6640625" style="1" customWidth="1"/>
    <col min="25" max="25" width="14.33203125" style="1" customWidth="1"/>
    <col min="26" max="26" width="16.33203125" style="1" customWidth="1"/>
    <col min="27" max="27" width="23.83203125" style="1" customWidth="1"/>
    <col min="28" max="28" width="24.33203125" style="1" customWidth="1"/>
    <col min="29" max="29" width="4" style="1" customWidth="1"/>
    <col min="30" max="30" width="16.33203125" style="1"/>
    <col min="31" max="31" width="29.5" style="1" customWidth="1"/>
    <col min="32" max="16384" width="16.33203125" style="1"/>
  </cols>
  <sheetData>
    <row r="1" spans="1:31" ht="38" customHeight="1" x14ac:dyDescent="0.15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31" ht="20.25" customHeight="1" x14ac:dyDescent="0.15">
      <c r="A2" s="8"/>
      <c r="B2" s="20" t="s">
        <v>16</v>
      </c>
      <c r="C2" s="20" t="s">
        <v>0</v>
      </c>
      <c r="D2" s="20" t="s">
        <v>1</v>
      </c>
      <c r="E2" s="20" t="s">
        <v>2</v>
      </c>
      <c r="F2" s="20" t="s">
        <v>3</v>
      </c>
      <c r="G2" s="20" t="s">
        <v>4</v>
      </c>
      <c r="H2" s="20" t="s">
        <v>5</v>
      </c>
      <c r="I2" s="20" t="s">
        <v>6</v>
      </c>
      <c r="J2" s="20" t="s">
        <v>7</v>
      </c>
      <c r="K2" s="20" t="s">
        <v>8</v>
      </c>
      <c r="L2" s="26" t="s">
        <v>9</v>
      </c>
      <c r="M2" s="70" t="s">
        <v>25</v>
      </c>
      <c r="N2" s="27" t="s">
        <v>10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17</v>
      </c>
      <c r="T2" s="20" t="s">
        <v>18</v>
      </c>
      <c r="U2" s="20" t="s">
        <v>19</v>
      </c>
      <c r="V2" s="20" t="s">
        <v>20</v>
      </c>
      <c r="W2" s="20" t="s">
        <v>21</v>
      </c>
      <c r="X2" s="20" t="s">
        <v>22</v>
      </c>
      <c r="Y2" s="9" t="s">
        <v>15</v>
      </c>
      <c r="Z2" s="2"/>
      <c r="AA2" s="5" t="s">
        <v>23</v>
      </c>
      <c r="AB2" s="13" t="s">
        <v>24</v>
      </c>
      <c r="AD2" s="16" t="s">
        <v>28</v>
      </c>
      <c r="AE2" s="4" t="s">
        <v>60</v>
      </c>
    </row>
    <row r="3" spans="1:31" ht="20.25" customHeight="1" x14ac:dyDescent="0.15">
      <c r="A3" s="25" t="s">
        <v>30</v>
      </c>
      <c r="B3" s="32">
        <v>0</v>
      </c>
      <c r="C3" s="31">
        <v>0</v>
      </c>
      <c r="D3" s="31">
        <v>0</v>
      </c>
      <c r="E3" s="49">
        <v>0</v>
      </c>
      <c r="F3" s="31">
        <v>0</v>
      </c>
      <c r="G3" s="31">
        <v>0</v>
      </c>
      <c r="H3" s="31">
        <v>1</v>
      </c>
      <c r="I3" s="31">
        <v>0</v>
      </c>
      <c r="J3" s="31">
        <v>0</v>
      </c>
      <c r="K3" s="31">
        <v>0</v>
      </c>
      <c r="L3" s="44">
        <v>0</v>
      </c>
      <c r="M3" s="70"/>
      <c r="N3" s="76" t="s">
        <v>81</v>
      </c>
      <c r="O3" s="31">
        <v>1</v>
      </c>
      <c r="P3" s="31">
        <v>0</v>
      </c>
      <c r="Q3" s="55">
        <v>1</v>
      </c>
      <c r="R3" s="31">
        <v>0</v>
      </c>
      <c r="S3" s="31">
        <v>0</v>
      </c>
      <c r="T3" s="31"/>
      <c r="U3" s="31"/>
      <c r="V3" s="31"/>
      <c r="W3" s="31"/>
      <c r="X3" s="31"/>
      <c r="Y3" s="34">
        <f>SUM(B3:X3)</f>
        <v>3</v>
      </c>
      <c r="Z3" s="33" t="s">
        <v>30</v>
      </c>
      <c r="AA3" s="3">
        <v>12</v>
      </c>
      <c r="AB3" s="6">
        <f>2/12</f>
        <v>0.16666666666666666</v>
      </c>
      <c r="AD3" s="14"/>
      <c r="AE3" s="4" t="s">
        <v>38</v>
      </c>
    </row>
    <row r="4" spans="1:31" ht="20" customHeight="1" x14ac:dyDescent="0.15">
      <c r="A4" s="21" t="s">
        <v>42</v>
      </c>
      <c r="B4" s="32">
        <v>0</v>
      </c>
      <c r="C4" s="31" t="s">
        <v>66</v>
      </c>
      <c r="D4" s="31" t="s">
        <v>66</v>
      </c>
      <c r="E4" s="49" t="s">
        <v>66</v>
      </c>
      <c r="F4" s="31" t="s">
        <v>66</v>
      </c>
      <c r="G4" s="31" t="s">
        <v>66</v>
      </c>
      <c r="H4" s="31" t="s">
        <v>66</v>
      </c>
      <c r="I4" s="31" t="s">
        <v>66</v>
      </c>
      <c r="J4" s="31" t="s">
        <v>66</v>
      </c>
      <c r="K4" s="31" t="s">
        <v>66</v>
      </c>
      <c r="L4" s="44" t="s">
        <v>66</v>
      </c>
      <c r="M4" s="70"/>
      <c r="N4" s="77"/>
      <c r="O4" s="31" t="s">
        <v>66</v>
      </c>
      <c r="P4" s="31" t="s">
        <v>66</v>
      </c>
      <c r="Q4" s="55" t="s">
        <v>83</v>
      </c>
      <c r="R4" s="31" t="s">
        <v>66</v>
      </c>
      <c r="S4" s="31" t="s">
        <v>66</v>
      </c>
      <c r="T4" s="31"/>
      <c r="U4" s="31"/>
      <c r="V4" s="31"/>
      <c r="W4" s="31"/>
      <c r="X4" s="31"/>
      <c r="Y4" s="34">
        <f t="shared" ref="Y4:Y15" si="0">SUM(B4:X4)</f>
        <v>0</v>
      </c>
      <c r="Z4" s="33" t="s">
        <v>42</v>
      </c>
      <c r="AA4" s="3">
        <v>1</v>
      </c>
      <c r="AB4" s="3">
        <f>0/1</f>
        <v>0</v>
      </c>
      <c r="AD4" s="14"/>
      <c r="AE4" s="4" t="s">
        <v>58</v>
      </c>
    </row>
    <row r="5" spans="1:31" ht="20" customHeight="1" x14ac:dyDescent="0.15">
      <c r="A5" s="21" t="s">
        <v>44</v>
      </c>
      <c r="B5" s="32">
        <v>1</v>
      </c>
      <c r="C5" s="31">
        <v>1</v>
      </c>
      <c r="D5" s="31">
        <v>0</v>
      </c>
      <c r="E5" s="49">
        <v>0</v>
      </c>
      <c r="F5" s="31">
        <v>1</v>
      </c>
      <c r="G5" s="31">
        <v>1</v>
      </c>
      <c r="H5" s="31" t="s">
        <v>66</v>
      </c>
      <c r="I5" s="31">
        <v>0</v>
      </c>
      <c r="J5" s="31">
        <v>0</v>
      </c>
      <c r="K5" s="31">
        <v>0</v>
      </c>
      <c r="L5" s="44">
        <v>3</v>
      </c>
      <c r="M5" s="70"/>
      <c r="N5" s="77"/>
      <c r="O5" s="31">
        <v>0</v>
      </c>
      <c r="P5" s="31" t="s">
        <v>66</v>
      </c>
      <c r="Q5" s="55">
        <v>0</v>
      </c>
      <c r="R5" s="31" t="s">
        <v>66</v>
      </c>
      <c r="S5" s="31">
        <v>4</v>
      </c>
      <c r="T5" s="31"/>
      <c r="U5" s="31"/>
      <c r="V5" s="31"/>
      <c r="W5" s="31"/>
      <c r="X5" s="31"/>
      <c r="Y5" s="34">
        <f t="shared" si="0"/>
        <v>11</v>
      </c>
      <c r="Z5" s="33" t="s">
        <v>31</v>
      </c>
      <c r="AA5" s="3">
        <v>11</v>
      </c>
      <c r="AB5" s="17">
        <f>7/11</f>
        <v>0.63636363636363635</v>
      </c>
      <c r="AD5" s="14"/>
      <c r="AE5" s="4" t="s">
        <v>59</v>
      </c>
    </row>
    <row r="6" spans="1:31" ht="20" customHeight="1" x14ac:dyDescent="0.15">
      <c r="A6" s="21" t="s">
        <v>40</v>
      </c>
      <c r="B6" s="32" t="s">
        <v>66</v>
      </c>
      <c r="C6" s="31" t="s">
        <v>66</v>
      </c>
      <c r="D6" s="31">
        <v>0</v>
      </c>
      <c r="E6" s="49">
        <v>0</v>
      </c>
      <c r="F6" s="31">
        <v>0</v>
      </c>
      <c r="G6" s="31">
        <v>0</v>
      </c>
      <c r="H6" s="31">
        <v>0</v>
      </c>
      <c r="I6" s="31">
        <v>0</v>
      </c>
      <c r="J6" s="31">
        <v>1</v>
      </c>
      <c r="K6" s="31">
        <v>0</v>
      </c>
      <c r="L6" s="44" t="s">
        <v>66</v>
      </c>
      <c r="M6" s="70"/>
      <c r="N6" s="77"/>
      <c r="O6" s="31" t="s">
        <v>66</v>
      </c>
      <c r="P6" s="31" t="s">
        <v>66</v>
      </c>
      <c r="Q6" s="55" t="s">
        <v>83</v>
      </c>
      <c r="R6" s="31" t="s">
        <v>66</v>
      </c>
      <c r="S6" s="31" t="s">
        <v>66</v>
      </c>
      <c r="T6" s="31"/>
      <c r="U6" s="31"/>
      <c r="V6" s="31"/>
      <c r="W6" s="31"/>
      <c r="X6" s="31"/>
      <c r="Y6" s="34">
        <f t="shared" si="0"/>
        <v>1</v>
      </c>
      <c r="Z6" s="33" t="s">
        <v>40</v>
      </c>
      <c r="AA6" s="3">
        <v>8</v>
      </c>
      <c r="AB6" s="6">
        <f>1/8</f>
        <v>0.125</v>
      </c>
    </row>
    <row r="7" spans="1:31" ht="20" customHeight="1" x14ac:dyDescent="0.15">
      <c r="A7" s="21" t="s">
        <v>43</v>
      </c>
      <c r="B7" s="32">
        <v>0</v>
      </c>
      <c r="C7" s="31">
        <v>0</v>
      </c>
      <c r="D7" s="31">
        <v>0</v>
      </c>
      <c r="E7" s="49">
        <v>0</v>
      </c>
      <c r="F7" s="31">
        <v>1</v>
      </c>
      <c r="G7" s="31">
        <v>1</v>
      </c>
      <c r="H7" s="31">
        <v>0</v>
      </c>
      <c r="I7" s="31">
        <v>0</v>
      </c>
      <c r="J7" s="31">
        <v>0</v>
      </c>
      <c r="K7" s="31">
        <v>0</v>
      </c>
      <c r="L7" s="44">
        <v>0</v>
      </c>
      <c r="M7" s="70"/>
      <c r="N7" s="77"/>
      <c r="O7" s="31">
        <v>0</v>
      </c>
      <c r="P7" s="31">
        <v>0</v>
      </c>
      <c r="Q7" s="55" t="s">
        <v>83</v>
      </c>
      <c r="R7" s="31">
        <v>1</v>
      </c>
      <c r="S7" s="31" t="s">
        <v>66</v>
      </c>
      <c r="T7" s="31"/>
      <c r="U7" s="31"/>
      <c r="V7" s="31"/>
      <c r="W7" s="31"/>
      <c r="X7" s="31"/>
      <c r="Y7" s="34">
        <f t="shared" si="0"/>
        <v>3</v>
      </c>
      <c r="Z7" s="33" t="s">
        <v>32</v>
      </c>
      <c r="AA7" s="3">
        <v>12</v>
      </c>
      <c r="AB7" s="3">
        <f>2/12</f>
        <v>0.16666666666666666</v>
      </c>
      <c r="AD7" s="39" t="s">
        <v>61</v>
      </c>
      <c r="AE7" s="40" t="s">
        <v>62</v>
      </c>
    </row>
    <row r="8" spans="1:31" ht="20" customHeight="1" x14ac:dyDescent="0.15">
      <c r="A8" s="21" t="s">
        <v>33</v>
      </c>
      <c r="B8" s="32" t="s">
        <v>66</v>
      </c>
      <c r="C8" s="31">
        <v>0</v>
      </c>
      <c r="D8" s="31">
        <v>0</v>
      </c>
      <c r="E8" s="49" t="s">
        <v>66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44">
        <v>0</v>
      </c>
      <c r="M8" s="70"/>
      <c r="N8" s="77"/>
      <c r="O8" s="31">
        <v>0</v>
      </c>
      <c r="P8" s="31" t="s">
        <v>66</v>
      </c>
      <c r="Q8" s="55">
        <v>0</v>
      </c>
      <c r="R8" s="31">
        <v>0</v>
      </c>
      <c r="S8" s="31" t="s">
        <v>66</v>
      </c>
      <c r="T8" s="31"/>
      <c r="U8" s="31"/>
      <c r="V8" s="31"/>
      <c r="W8" s="31"/>
      <c r="X8" s="31"/>
      <c r="Y8" s="34">
        <f t="shared" si="0"/>
        <v>0</v>
      </c>
      <c r="Z8" s="33" t="s">
        <v>33</v>
      </c>
      <c r="AA8" s="3">
        <v>10</v>
      </c>
      <c r="AB8" s="3">
        <f>0/10</f>
        <v>0</v>
      </c>
      <c r="AE8" s="40" t="s">
        <v>63</v>
      </c>
    </row>
    <row r="9" spans="1:31" ht="20" customHeight="1" x14ac:dyDescent="0.15">
      <c r="A9" s="21" t="s">
        <v>34</v>
      </c>
      <c r="B9" s="32">
        <v>0</v>
      </c>
      <c r="C9" s="31" t="s">
        <v>66</v>
      </c>
      <c r="D9" s="31" t="s">
        <v>66</v>
      </c>
      <c r="E9" s="49">
        <v>0</v>
      </c>
      <c r="F9" s="31">
        <v>0</v>
      </c>
      <c r="G9" s="31">
        <v>0</v>
      </c>
      <c r="H9" s="31">
        <v>1</v>
      </c>
      <c r="I9" s="31">
        <v>0</v>
      </c>
      <c r="J9" s="31">
        <v>0</v>
      </c>
      <c r="K9" s="31" t="s">
        <v>66</v>
      </c>
      <c r="L9" s="44">
        <v>0</v>
      </c>
      <c r="M9" s="70"/>
      <c r="N9" s="77"/>
      <c r="O9" s="31" t="s">
        <v>66</v>
      </c>
      <c r="P9" s="31">
        <v>0</v>
      </c>
      <c r="Q9" s="55">
        <v>0</v>
      </c>
      <c r="R9" s="31">
        <v>0</v>
      </c>
      <c r="S9" s="31">
        <v>1</v>
      </c>
      <c r="T9" s="31"/>
      <c r="U9" s="31"/>
      <c r="V9" s="31"/>
      <c r="W9" s="31"/>
      <c r="X9" s="31"/>
      <c r="Y9" s="34">
        <f t="shared" si="0"/>
        <v>2</v>
      </c>
      <c r="Z9" s="33" t="s">
        <v>34</v>
      </c>
      <c r="AA9" s="3">
        <v>8</v>
      </c>
      <c r="AB9" s="6">
        <f>1/8</f>
        <v>0.125</v>
      </c>
      <c r="AE9" s="40" t="s">
        <v>64</v>
      </c>
    </row>
    <row r="10" spans="1:31" ht="20" customHeight="1" x14ac:dyDescent="0.15">
      <c r="A10" s="21" t="s">
        <v>35</v>
      </c>
      <c r="B10" s="32">
        <v>0</v>
      </c>
      <c r="C10" s="31">
        <v>0</v>
      </c>
      <c r="D10" s="31" t="s">
        <v>66</v>
      </c>
      <c r="E10" s="49">
        <v>0</v>
      </c>
      <c r="F10" s="31">
        <v>1</v>
      </c>
      <c r="G10" s="31">
        <v>0</v>
      </c>
      <c r="H10" s="31">
        <v>0</v>
      </c>
      <c r="I10" s="31">
        <v>0</v>
      </c>
      <c r="J10" s="31">
        <v>0</v>
      </c>
      <c r="K10" s="31" t="s">
        <v>66</v>
      </c>
      <c r="L10" s="44" t="s">
        <v>66</v>
      </c>
      <c r="M10" s="70"/>
      <c r="N10" s="77"/>
      <c r="O10" s="31" t="s">
        <v>66</v>
      </c>
      <c r="P10" s="31">
        <v>1</v>
      </c>
      <c r="Q10" s="55">
        <v>0</v>
      </c>
      <c r="R10" s="31">
        <v>0</v>
      </c>
      <c r="S10" s="31">
        <v>0</v>
      </c>
      <c r="T10" s="31"/>
      <c r="U10" s="31"/>
      <c r="V10" s="31"/>
      <c r="W10" s="31"/>
      <c r="X10" s="31"/>
      <c r="Y10" s="34">
        <f t="shared" si="0"/>
        <v>2</v>
      </c>
      <c r="Z10" s="33" t="s">
        <v>35</v>
      </c>
      <c r="AA10" s="3">
        <v>8</v>
      </c>
      <c r="AB10" s="17">
        <v>0.125</v>
      </c>
    </row>
    <row r="11" spans="1:31" ht="20" customHeight="1" x14ac:dyDescent="0.15">
      <c r="A11" s="21" t="s">
        <v>36</v>
      </c>
      <c r="B11" s="32">
        <v>0</v>
      </c>
      <c r="C11" s="31">
        <v>0</v>
      </c>
      <c r="D11" s="31">
        <v>1</v>
      </c>
      <c r="E11" s="49" t="s">
        <v>66</v>
      </c>
      <c r="F11" s="31">
        <v>2</v>
      </c>
      <c r="G11" s="31">
        <v>0</v>
      </c>
      <c r="H11" s="31" t="s">
        <v>66</v>
      </c>
      <c r="I11" s="31" t="s">
        <v>66</v>
      </c>
      <c r="J11" s="31">
        <v>0</v>
      </c>
      <c r="K11" s="31">
        <v>1</v>
      </c>
      <c r="L11" s="44">
        <v>1</v>
      </c>
      <c r="M11" s="70"/>
      <c r="N11" s="77"/>
      <c r="O11" s="31">
        <v>1</v>
      </c>
      <c r="P11" s="31">
        <v>0</v>
      </c>
      <c r="Q11" s="55">
        <v>3</v>
      </c>
      <c r="R11" s="31">
        <v>1</v>
      </c>
      <c r="S11" s="31">
        <v>1</v>
      </c>
      <c r="T11" s="31"/>
      <c r="U11" s="31"/>
      <c r="V11" s="31"/>
      <c r="W11" s="31"/>
      <c r="X11" s="31"/>
      <c r="Y11" s="34">
        <f t="shared" si="0"/>
        <v>11</v>
      </c>
      <c r="Z11" s="33" t="s">
        <v>36</v>
      </c>
      <c r="AA11" s="3">
        <v>9</v>
      </c>
      <c r="AB11" s="17">
        <f>6/9</f>
        <v>0.66666666666666663</v>
      </c>
      <c r="AD11" s="41"/>
    </row>
    <row r="12" spans="1:31" ht="20" customHeight="1" x14ac:dyDescent="0.15">
      <c r="A12" s="21" t="s">
        <v>67</v>
      </c>
      <c r="B12" s="32">
        <v>0</v>
      </c>
      <c r="C12" s="31">
        <v>0</v>
      </c>
      <c r="D12" s="31">
        <v>0</v>
      </c>
      <c r="E12" s="49" t="s">
        <v>66</v>
      </c>
      <c r="F12" s="31">
        <v>0</v>
      </c>
      <c r="G12" s="31" t="s">
        <v>66</v>
      </c>
      <c r="H12" s="31" t="s">
        <v>66</v>
      </c>
      <c r="I12" s="31" t="s">
        <v>66</v>
      </c>
      <c r="J12" s="31" t="s">
        <v>66</v>
      </c>
      <c r="K12" s="31" t="s">
        <v>66</v>
      </c>
      <c r="L12" s="44" t="s">
        <v>66</v>
      </c>
      <c r="M12" s="70"/>
      <c r="N12" s="77"/>
      <c r="O12" s="31" t="s">
        <v>66</v>
      </c>
      <c r="P12" s="31" t="s">
        <v>66</v>
      </c>
      <c r="Q12" s="55">
        <v>2</v>
      </c>
      <c r="R12" s="31" t="s">
        <v>66</v>
      </c>
      <c r="S12" s="31" t="s">
        <v>66</v>
      </c>
      <c r="T12" s="31"/>
      <c r="U12" s="31"/>
      <c r="V12" s="31"/>
      <c r="W12" s="31"/>
      <c r="X12" s="31"/>
      <c r="Y12" s="34">
        <f>SUM(B12:X12)</f>
        <v>2</v>
      </c>
      <c r="Z12" s="33" t="s">
        <v>67</v>
      </c>
      <c r="AA12" s="3">
        <v>4</v>
      </c>
      <c r="AB12" s="17">
        <v>0</v>
      </c>
      <c r="AD12" s="41"/>
    </row>
    <row r="13" spans="1:31" ht="20" customHeight="1" x14ac:dyDescent="0.15">
      <c r="A13" s="21" t="s">
        <v>69</v>
      </c>
      <c r="B13" s="32" t="s">
        <v>66</v>
      </c>
      <c r="C13" s="31" t="s">
        <v>66</v>
      </c>
      <c r="D13" s="31">
        <v>0</v>
      </c>
      <c r="E13" s="49" t="s">
        <v>66</v>
      </c>
      <c r="F13" s="31" t="s">
        <v>66</v>
      </c>
      <c r="G13" s="31" t="s">
        <v>66</v>
      </c>
      <c r="H13" s="31">
        <v>0</v>
      </c>
      <c r="I13" s="31" t="s">
        <v>66</v>
      </c>
      <c r="J13" s="31">
        <v>2</v>
      </c>
      <c r="K13" s="31">
        <v>0</v>
      </c>
      <c r="L13" s="44" t="s">
        <v>66</v>
      </c>
      <c r="M13" s="70"/>
      <c r="N13" s="77"/>
      <c r="O13" s="31" t="s">
        <v>66</v>
      </c>
      <c r="P13" s="31" t="s">
        <v>66</v>
      </c>
      <c r="Q13" s="55" t="s">
        <v>83</v>
      </c>
      <c r="R13" s="31">
        <v>2</v>
      </c>
      <c r="S13" s="31" t="s">
        <v>66</v>
      </c>
      <c r="T13" s="31"/>
      <c r="U13" s="31"/>
      <c r="V13" s="31"/>
      <c r="W13" s="31"/>
      <c r="X13" s="31"/>
      <c r="Y13" s="34">
        <f>SUM(B13:X13)</f>
        <v>4</v>
      </c>
      <c r="Z13" s="33" t="s">
        <v>69</v>
      </c>
      <c r="AA13" s="3">
        <v>4</v>
      </c>
      <c r="AB13" s="17">
        <f>2/4</f>
        <v>0.5</v>
      </c>
      <c r="AD13" s="41"/>
    </row>
    <row r="14" spans="1:31" ht="20" customHeight="1" x14ac:dyDescent="0.15">
      <c r="A14" s="21" t="s">
        <v>39</v>
      </c>
      <c r="B14" s="32" t="s">
        <v>66</v>
      </c>
      <c r="C14" s="31" t="s">
        <v>66</v>
      </c>
      <c r="D14" s="31">
        <v>2</v>
      </c>
      <c r="E14" s="49" t="s">
        <v>66</v>
      </c>
      <c r="F14" s="31">
        <v>1</v>
      </c>
      <c r="G14" s="31" t="s">
        <v>66</v>
      </c>
      <c r="H14" s="31">
        <v>2</v>
      </c>
      <c r="I14" s="31" t="s">
        <v>66</v>
      </c>
      <c r="J14" s="31" t="s">
        <v>66</v>
      </c>
      <c r="K14" s="31" t="s">
        <v>66</v>
      </c>
      <c r="L14" s="44" t="s">
        <v>66</v>
      </c>
      <c r="M14" s="70"/>
      <c r="N14" s="77"/>
      <c r="O14" s="31" t="s">
        <v>66</v>
      </c>
      <c r="P14" s="31" t="s">
        <v>66</v>
      </c>
      <c r="Q14" s="55" t="s">
        <v>83</v>
      </c>
      <c r="R14" s="31" t="s">
        <v>66</v>
      </c>
      <c r="S14" s="31">
        <v>3</v>
      </c>
      <c r="T14" s="31"/>
      <c r="U14" s="31"/>
      <c r="V14" s="31"/>
      <c r="W14" s="31"/>
      <c r="X14" s="31"/>
      <c r="Y14" s="34">
        <f t="shared" si="0"/>
        <v>8</v>
      </c>
      <c r="Z14" s="12" t="s">
        <v>39</v>
      </c>
      <c r="AA14" s="3">
        <v>3</v>
      </c>
      <c r="AB14" s="17">
        <f>5/3</f>
        <v>1.6666666666666667</v>
      </c>
      <c r="AD14" s="39" t="s">
        <v>45</v>
      </c>
      <c r="AE14" s="40" t="s">
        <v>65</v>
      </c>
    </row>
    <row r="15" spans="1:31" ht="20" customHeight="1" x14ac:dyDescent="0.15">
      <c r="A15" s="21" t="s">
        <v>76</v>
      </c>
      <c r="B15" s="32" t="s">
        <v>66</v>
      </c>
      <c r="C15" s="31" t="s">
        <v>66</v>
      </c>
      <c r="D15" s="31" t="s">
        <v>66</v>
      </c>
      <c r="E15" s="49" t="s">
        <v>66</v>
      </c>
      <c r="F15" s="31" t="s">
        <v>66</v>
      </c>
      <c r="G15" s="31" t="s">
        <v>66</v>
      </c>
      <c r="H15" s="31">
        <v>1</v>
      </c>
      <c r="I15" s="31" t="s">
        <v>66</v>
      </c>
      <c r="J15" s="31" t="s">
        <v>66</v>
      </c>
      <c r="K15" s="31">
        <v>3</v>
      </c>
      <c r="L15" s="44">
        <v>1</v>
      </c>
      <c r="M15" s="70"/>
      <c r="N15" s="77"/>
      <c r="O15" s="31" t="s">
        <v>66</v>
      </c>
      <c r="P15" s="31" t="s">
        <v>66</v>
      </c>
      <c r="Q15" s="55" t="s">
        <v>83</v>
      </c>
      <c r="R15" s="31" t="s">
        <v>66</v>
      </c>
      <c r="S15" s="31" t="s">
        <v>66</v>
      </c>
      <c r="T15" s="31"/>
      <c r="U15" s="31"/>
      <c r="V15" s="31"/>
      <c r="W15" s="31"/>
      <c r="X15" s="31"/>
      <c r="Y15" s="34">
        <f t="shared" si="0"/>
        <v>5</v>
      </c>
      <c r="Z15" s="12" t="s">
        <v>76</v>
      </c>
      <c r="AA15" s="3">
        <v>3</v>
      </c>
      <c r="AB15" s="17">
        <f>5/3</f>
        <v>1.6666666666666667</v>
      </c>
      <c r="AD15" s="52"/>
      <c r="AE15" s="40"/>
    </row>
    <row r="16" spans="1:31" ht="20" customHeight="1" x14ac:dyDescent="0.15">
      <c r="A16" s="21" t="s">
        <v>87</v>
      </c>
      <c r="B16" s="32" t="s">
        <v>66</v>
      </c>
      <c r="C16" s="31" t="s">
        <v>66</v>
      </c>
      <c r="D16" s="31" t="s">
        <v>66</v>
      </c>
      <c r="E16" s="49" t="s">
        <v>66</v>
      </c>
      <c r="F16" s="31" t="s">
        <v>66</v>
      </c>
      <c r="G16" s="31" t="s">
        <v>66</v>
      </c>
      <c r="H16" s="31" t="s">
        <v>66</v>
      </c>
      <c r="I16" s="31" t="s">
        <v>66</v>
      </c>
      <c r="J16" s="31" t="s">
        <v>66</v>
      </c>
      <c r="K16" s="31" t="s">
        <v>66</v>
      </c>
      <c r="L16" s="44" t="s">
        <v>66</v>
      </c>
      <c r="M16" s="70"/>
      <c r="N16" s="77"/>
      <c r="O16" s="31" t="s">
        <v>66</v>
      </c>
      <c r="P16" s="31" t="s">
        <v>66</v>
      </c>
      <c r="Q16" s="55" t="s">
        <v>66</v>
      </c>
      <c r="R16" s="31" t="s">
        <v>66</v>
      </c>
      <c r="S16" s="31">
        <v>1</v>
      </c>
      <c r="T16" s="31"/>
      <c r="U16" s="31"/>
      <c r="V16" s="31"/>
      <c r="W16" s="31"/>
      <c r="X16" s="31"/>
      <c r="Y16" s="34"/>
      <c r="Z16" s="12"/>
      <c r="AA16" s="3"/>
      <c r="AB16" s="17"/>
      <c r="AD16" s="52"/>
      <c r="AE16" s="40"/>
    </row>
    <row r="17" spans="1:31" ht="20" customHeight="1" x14ac:dyDescent="0.15">
      <c r="A17" s="21" t="s">
        <v>56</v>
      </c>
      <c r="B17" s="32">
        <v>0</v>
      </c>
      <c r="C17" s="31">
        <v>0</v>
      </c>
      <c r="D17" s="31">
        <v>0</v>
      </c>
      <c r="E17" s="49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44">
        <v>0</v>
      </c>
      <c r="M17" s="70"/>
      <c r="N17" s="77"/>
      <c r="O17" s="31">
        <v>0</v>
      </c>
      <c r="P17" s="31">
        <v>0</v>
      </c>
      <c r="Q17" s="55">
        <v>0</v>
      </c>
      <c r="R17" s="31">
        <v>0</v>
      </c>
      <c r="S17" s="31">
        <v>0</v>
      </c>
      <c r="T17" s="31"/>
      <c r="U17" s="31"/>
      <c r="V17" s="31"/>
      <c r="W17" s="31"/>
      <c r="X17" s="31"/>
      <c r="Y17" s="34">
        <f t="shared" ref="Y17" si="1">SUM(B17:X17)</f>
        <v>0</v>
      </c>
      <c r="Z17" s="12" t="s">
        <v>37</v>
      </c>
      <c r="AA17" s="3">
        <v>12</v>
      </c>
      <c r="AB17" s="3">
        <v>0</v>
      </c>
      <c r="AE17" s="40" t="s">
        <v>73</v>
      </c>
    </row>
    <row r="18" spans="1:31" ht="20" customHeight="1" x14ac:dyDescent="0.15">
      <c r="A18" s="21" t="s">
        <v>79</v>
      </c>
      <c r="B18" s="32" t="s">
        <v>66</v>
      </c>
      <c r="C18" s="31" t="s">
        <v>66</v>
      </c>
      <c r="D18" s="31" t="s">
        <v>66</v>
      </c>
      <c r="E18" s="49" t="s">
        <v>66</v>
      </c>
      <c r="F18" s="31" t="s">
        <v>66</v>
      </c>
      <c r="G18" s="31" t="s">
        <v>66</v>
      </c>
      <c r="H18" s="31" t="s">
        <v>66</v>
      </c>
      <c r="I18" s="31" t="s">
        <v>66</v>
      </c>
      <c r="J18" s="31" t="s">
        <v>66</v>
      </c>
      <c r="K18" s="31" t="s">
        <v>66</v>
      </c>
      <c r="L18" s="44" t="s">
        <v>66</v>
      </c>
      <c r="M18" s="70"/>
      <c r="N18" s="78"/>
      <c r="O18" s="31">
        <v>1</v>
      </c>
      <c r="P18" s="31">
        <v>0</v>
      </c>
      <c r="Q18" s="55">
        <v>0</v>
      </c>
      <c r="R18" s="31">
        <v>0</v>
      </c>
      <c r="S18" s="31" t="s">
        <v>66</v>
      </c>
      <c r="T18" s="31"/>
      <c r="U18" s="31"/>
      <c r="V18" s="31"/>
      <c r="W18" s="31"/>
      <c r="X18" s="31"/>
      <c r="Y18" s="34">
        <v>0</v>
      </c>
      <c r="Z18" s="12" t="s">
        <v>79</v>
      </c>
      <c r="AA18" s="3"/>
      <c r="AB18" s="3"/>
      <c r="AE18" s="40"/>
    </row>
    <row r="19" spans="1:31" ht="8" customHeight="1" x14ac:dyDescent="0.15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  <c r="AA19" s="2"/>
    </row>
    <row r="20" spans="1:31" ht="20" customHeight="1" x14ac:dyDescent="0.15">
      <c r="A20" s="11" t="s">
        <v>15</v>
      </c>
      <c r="B20" s="22">
        <v>1</v>
      </c>
      <c r="C20" s="19">
        <v>1</v>
      </c>
      <c r="D20" s="19">
        <v>3</v>
      </c>
      <c r="E20" s="19">
        <v>0</v>
      </c>
      <c r="F20" s="19">
        <f>SUM(F3:F18)</f>
        <v>6</v>
      </c>
      <c r="G20" s="19">
        <f>SUM(G3:G18)</f>
        <v>2</v>
      </c>
      <c r="H20" s="19">
        <f>SUM(H3:H18)</f>
        <v>5</v>
      </c>
      <c r="I20" s="19">
        <v>8</v>
      </c>
      <c r="J20" s="19">
        <v>3</v>
      </c>
      <c r="K20" s="19">
        <v>4</v>
      </c>
      <c r="L20" s="23">
        <v>5</v>
      </c>
      <c r="M20" s="70"/>
      <c r="N20" s="24">
        <v>6</v>
      </c>
      <c r="O20" s="18">
        <v>3</v>
      </c>
      <c r="P20" s="18">
        <v>1</v>
      </c>
      <c r="Q20" s="18">
        <v>6</v>
      </c>
      <c r="R20" s="18">
        <v>4</v>
      </c>
      <c r="S20" s="18">
        <v>10</v>
      </c>
      <c r="T20" s="18"/>
      <c r="U20" s="18"/>
      <c r="V20" s="18"/>
      <c r="W20" s="18"/>
      <c r="X20" s="18"/>
      <c r="Y20" s="43">
        <f>SUM(Y3:Y18)</f>
        <v>52</v>
      </c>
      <c r="AA20" s="7" t="s">
        <v>26</v>
      </c>
      <c r="AB20" s="3">
        <v>72</v>
      </c>
    </row>
    <row r="21" spans="1:31" ht="20" customHeight="1" x14ac:dyDescent="0.15">
      <c r="A21" s="10"/>
      <c r="B21" s="57" t="s">
        <v>41</v>
      </c>
      <c r="C21" s="60" t="s">
        <v>46</v>
      </c>
      <c r="D21" s="60" t="s">
        <v>47</v>
      </c>
      <c r="E21" s="60" t="s">
        <v>54</v>
      </c>
      <c r="F21" s="57" t="s">
        <v>48</v>
      </c>
      <c r="G21" s="57" t="s">
        <v>49</v>
      </c>
      <c r="H21" s="57" t="s">
        <v>50</v>
      </c>
      <c r="I21" s="57" t="s">
        <v>51</v>
      </c>
      <c r="J21" s="57" t="s">
        <v>52</v>
      </c>
      <c r="K21" s="57" t="s">
        <v>53</v>
      </c>
      <c r="L21" s="62" t="s">
        <v>55</v>
      </c>
      <c r="M21" s="70"/>
      <c r="N21" s="65" t="s">
        <v>41</v>
      </c>
      <c r="O21" s="60" t="s">
        <v>46</v>
      </c>
      <c r="P21" s="60" t="s">
        <v>47</v>
      </c>
      <c r="Q21" s="60" t="s">
        <v>54</v>
      </c>
      <c r="R21" s="57" t="s">
        <v>48</v>
      </c>
      <c r="S21" s="57" t="s">
        <v>49</v>
      </c>
      <c r="T21" s="57" t="s">
        <v>50</v>
      </c>
      <c r="U21" s="57" t="s">
        <v>51</v>
      </c>
      <c r="V21" s="57" t="s">
        <v>52</v>
      </c>
      <c r="W21" s="57" t="s">
        <v>53</v>
      </c>
      <c r="X21" s="73" t="s">
        <v>55</v>
      </c>
      <c r="Y21" s="42"/>
      <c r="AA21" s="7" t="s">
        <v>27</v>
      </c>
      <c r="AB21" s="3">
        <v>0</v>
      </c>
    </row>
    <row r="22" spans="1:31" ht="20" customHeight="1" x14ac:dyDescent="0.15">
      <c r="A22" s="10"/>
      <c r="B22" s="58"/>
      <c r="C22" s="61"/>
      <c r="D22" s="61"/>
      <c r="E22" s="61"/>
      <c r="F22" s="58"/>
      <c r="G22" s="58"/>
      <c r="H22" s="58"/>
      <c r="I22" s="58"/>
      <c r="J22" s="58"/>
      <c r="K22" s="58"/>
      <c r="L22" s="63"/>
      <c r="M22" s="70"/>
      <c r="N22" s="66"/>
      <c r="O22" s="61"/>
      <c r="P22" s="61"/>
      <c r="Q22" s="61"/>
      <c r="R22" s="58"/>
      <c r="S22" s="58"/>
      <c r="T22" s="58"/>
      <c r="U22" s="58"/>
      <c r="V22" s="58"/>
      <c r="W22" s="58"/>
      <c r="X22" s="74"/>
      <c r="Y22" s="42"/>
    </row>
    <row r="23" spans="1:31" ht="20" customHeight="1" x14ac:dyDescent="0.15">
      <c r="A23" s="10"/>
      <c r="B23" s="58"/>
      <c r="C23" s="61"/>
      <c r="D23" s="61"/>
      <c r="E23" s="61"/>
      <c r="F23" s="58"/>
      <c r="G23" s="58"/>
      <c r="H23" s="58"/>
      <c r="I23" s="58"/>
      <c r="J23" s="58"/>
      <c r="K23" s="58"/>
      <c r="L23" s="63"/>
      <c r="M23" s="70"/>
      <c r="N23" s="66"/>
      <c r="O23" s="61"/>
      <c r="P23" s="61"/>
      <c r="Q23" s="61"/>
      <c r="R23" s="58"/>
      <c r="S23" s="58"/>
      <c r="T23" s="58"/>
      <c r="U23" s="58"/>
      <c r="V23" s="58"/>
      <c r="W23" s="58"/>
      <c r="X23" s="74"/>
      <c r="Y23" s="42"/>
    </row>
    <row r="24" spans="1:31" ht="20" customHeight="1" x14ac:dyDescent="0.15">
      <c r="A24" s="10"/>
      <c r="B24" s="58"/>
      <c r="C24" s="61"/>
      <c r="D24" s="61"/>
      <c r="E24" s="61"/>
      <c r="F24" s="58"/>
      <c r="G24" s="58"/>
      <c r="H24" s="58"/>
      <c r="I24" s="58"/>
      <c r="J24" s="58"/>
      <c r="K24" s="58"/>
      <c r="L24" s="63"/>
      <c r="M24" s="70"/>
      <c r="N24" s="66"/>
      <c r="O24" s="61"/>
      <c r="P24" s="61"/>
      <c r="Q24" s="61"/>
      <c r="R24" s="58"/>
      <c r="S24" s="58"/>
      <c r="T24" s="58"/>
      <c r="U24" s="58"/>
      <c r="V24" s="58"/>
      <c r="W24" s="58"/>
      <c r="X24" s="74"/>
      <c r="Y24" s="42"/>
    </row>
    <row r="25" spans="1:31" ht="20" customHeight="1" x14ac:dyDescent="0.15">
      <c r="A25" s="10"/>
      <c r="B25" s="58"/>
      <c r="C25" s="61"/>
      <c r="D25" s="61"/>
      <c r="E25" s="61"/>
      <c r="F25" s="58"/>
      <c r="G25" s="58"/>
      <c r="H25" s="58"/>
      <c r="I25" s="58"/>
      <c r="J25" s="58"/>
      <c r="K25" s="58"/>
      <c r="L25" s="63"/>
      <c r="M25" s="70"/>
      <c r="N25" s="66"/>
      <c r="O25" s="61"/>
      <c r="P25" s="61"/>
      <c r="Q25" s="61"/>
      <c r="R25" s="58"/>
      <c r="S25" s="58"/>
      <c r="T25" s="58"/>
      <c r="U25" s="58"/>
      <c r="V25" s="58"/>
      <c r="W25" s="58"/>
      <c r="X25" s="74"/>
      <c r="Y25" s="42"/>
    </row>
    <row r="26" spans="1:31" ht="20" customHeight="1" x14ac:dyDescent="0.15">
      <c r="A26" s="10"/>
      <c r="B26" s="58"/>
      <c r="C26" s="61"/>
      <c r="D26" s="61"/>
      <c r="E26" s="61"/>
      <c r="F26" s="58"/>
      <c r="G26" s="58"/>
      <c r="H26" s="58"/>
      <c r="I26" s="58"/>
      <c r="J26" s="58"/>
      <c r="K26" s="58"/>
      <c r="L26" s="63"/>
      <c r="M26" s="70"/>
      <c r="N26" s="66"/>
      <c r="O26" s="61"/>
      <c r="P26" s="61"/>
      <c r="Q26" s="61"/>
      <c r="R26" s="58"/>
      <c r="S26" s="58"/>
      <c r="T26" s="58"/>
      <c r="U26" s="58"/>
      <c r="V26" s="58"/>
      <c r="W26" s="58"/>
      <c r="X26" s="74"/>
      <c r="Y26" s="42"/>
    </row>
    <row r="27" spans="1:31" ht="22" customHeight="1" x14ac:dyDescent="0.15">
      <c r="A27" s="10"/>
      <c r="B27" s="58"/>
      <c r="C27" s="61"/>
      <c r="D27" s="61"/>
      <c r="E27" s="61"/>
      <c r="F27" s="58"/>
      <c r="G27" s="58"/>
      <c r="H27" s="58"/>
      <c r="I27" s="58"/>
      <c r="J27" s="58"/>
      <c r="K27" s="58"/>
      <c r="L27" s="63"/>
      <c r="M27" s="70"/>
      <c r="N27" s="66"/>
      <c r="O27" s="61"/>
      <c r="P27" s="61"/>
      <c r="Q27" s="61"/>
      <c r="R27" s="58"/>
      <c r="S27" s="58"/>
      <c r="T27" s="58"/>
      <c r="U27" s="58"/>
      <c r="V27" s="58"/>
      <c r="W27" s="58"/>
      <c r="X27" s="74"/>
      <c r="Y27" s="42"/>
      <c r="AA27" s="14"/>
      <c r="AB27" s="15"/>
      <c r="AC27" s="14"/>
    </row>
    <row r="28" spans="1:31" ht="20" customHeight="1" x14ac:dyDescent="0.15">
      <c r="A28" s="10"/>
      <c r="B28" s="59"/>
      <c r="C28" s="61"/>
      <c r="D28" s="61"/>
      <c r="E28" s="61"/>
      <c r="F28" s="59"/>
      <c r="G28" s="59"/>
      <c r="H28" s="59"/>
      <c r="I28" s="59"/>
      <c r="J28" s="59"/>
      <c r="K28" s="59"/>
      <c r="L28" s="64"/>
      <c r="M28" s="70"/>
      <c r="N28" s="67"/>
      <c r="O28" s="61"/>
      <c r="P28" s="61"/>
      <c r="Q28" s="61"/>
      <c r="R28" s="59"/>
      <c r="S28" s="59"/>
      <c r="T28" s="59"/>
      <c r="U28" s="59"/>
      <c r="V28" s="59"/>
      <c r="W28" s="59"/>
      <c r="X28" s="75"/>
      <c r="Y28" s="42"/>
      <c r="AA28" s="14"/>
      <c r="AB28" s="14"/>
    </row>
    <row r="29" spans="1:31" ht="83" customHeight="1" x14ac:dyDescent="0.15">
      <c r="B29" s="28">
        <v>45949</v>
      </c>
      <c r="C29" s="28">
        <v>45956</v>
      </c>
      <c r="D29" s="28">
        <v>45963</v>
      </c>
      <c r="E29" s="28">
        <v>45977</v>
      </c>
      <c r="F29" s="28">
        <v>45984</v>
      </c>
      <c r="G29" s="28">
        <v>45991</v>
      </c>
      <c r="H29" s="28">
        <v>46005</v>
      </c>
      <c r="I29" s="28">
        <v>46012</v>
      </c>
      <c r="J29" s="28">
        <v>46033</v>
      </c>
      <c r="K29" s="28">
        <v>46040</v>
      </c>
      <c r="L29" s="30">
        <v>46047</v>
      </c>
      <c r="M29" s="70"/>
      <c r="N29" s="29">
        <v>46054</v>
      </c>
      <c r="O29" s="28">
        <v>46061</v>
      </c>
      <c r="P29" s="28">
        <v>46075</v>
      </c>
      <c r="Q29" s="28">
        <v>46082</v>
      </c>
      <c r="R29" s="28">
        <v>46089</v>
      </c>
      <c r="S29" s="28">
        <v>46096</v>
      </c>
      <c r="T29" s="28">
        <v>46103</v>
      </c>
      <c r="U29" s="28">
        <v>46124</v>
      </c>
      <c r="V29" s="28">
        <v>46131</v>
      </c>
      <c r="W29" s="28">
        <v>46138</v>
      </c>
      <c r="X29" s="28">
        <v>46152</v>
      </c>
      <c r="AA29" s="14"/>
      <c r="AB29" s="14"/>
    </row>
    <row r="30" spans="1:31" ht="20" customHeight="1" x14ac:dyDescent="0.15">
      <c r="B30" s="36" t="s">
        <v>16</v>
      </c>
      <c r="C30" s="36" t="s">
        <v>0</v>
      </c>
      <c r="D30" s="36" t="s">
        <v>1</v>
      </c>
      <c r="E30" s="36" t="s">
        <v>2</v>
      </c>
      <c r="F30" s="36" t="s">
        <v>3</v>
      </c>
      <c r="G30" s="36" t="s">
        <v>4</v>
      </c>
      <c r="H30" s="36" t="s">
        <v>5</v>
      </c>
      <c r="I30" s="36" t="s">
        <v>6</v>
      </c>
      <c r="J30" s="36" t="s">
        <v>7</v>
      </c>
      <c r="K30" s="36" t="s">
        <v>8</v>
      </c>
      <c r="L30" s="45" t="s">
        <v>9</v>
      </c>
      <c r="M30" s="70"/>
      <c r="N30" s="37" t="s">
        <v>10</v>
      </c>
      <c r="O30" s="36" t="s">
        <v>11</v>
      </c>
      <c r="P30" s="36" t="s">
        <v>12</v>
      </c>
      <c r="Q30" s="36" t="s">
        <v>13</v>
      </c>
      <c r="R30" s="36" t="s">
        <v>14</v>
      </c>
      <c r="S30" s="36" t="s">
        <v>17</v>
      </c>
      <c r="T30" s="36" t="s">
        <v>18</v>
      </c>
      <c r="U30" s="36" t="s">
        <v>19</v>
      </c>
      <c r="V30" s="36" t="s">
        <v>20</v>
      </c>
      <c r="W30" s="36" t="s">
        <v>21</v>
      </c>
      <c r="X30" s="36" t="s">
        <v>22</v>
      </c>
      <c r="AA30" s="14"/>
      <c r="AB30" s="15"/>
    </row>
    <row r="31" spans="1:31" ht="20" customHeight="1" x14ac:dyDescent="0.15">
      <c r="A31" s="38" t="s">
        <v>57</v>
      </c>
      <c r="B31" s="46" t="s">
        <v>68</v>
      </c>
      <c r="C31" s="46" t="s">
        <v>68</v>
      </c>
      <c r="D31" s="47" t="s">
        <v>70</v>
      </c>
      <c r="E31" s="46" t="s">
        <v>71</v>
      </c>
      <c r="F31" s="50" t="s">
        <v>72</v>
      </c>
      <c r="G31" s="47" t="s">
        <v>74</v>
      </c>
      <c r="H31" s="51" t="s">
        <v>75</v>
      </c>
      <c r="I31" s="46" t="s">
        <v>77</v>
      </c>
      <c r="J31" s="46" t="s">
        <v>77</v>
      </c>
      <c r="K31" s="46" t="s">
        <v>78</v>
      </c>
      <c r="L31" s="53" t="s">
        <v>70</v>
      </c>
      <c r="M31" s="70"/>
      <c r="N31" s="54" t="s">
        <v>80</v>
      </c>
      <c r="O31" s="47" t="s">
        <v>77</v>
      </c>
      <c r="P31" s="46" t="s">
        <v>82</v>
      </c>
      <c r="Q31" s="50" t="s">
        <v>84</v>
      </c>
      <c r="R31" s="47" t="s">
        <v>85</v>
      </c>
      <c r="S31" s="50" t="s">
        <v>86</v>
      </c>
      <c r="T31" s="48"/>
      <c r="U31" s="48"/>
      <c r="V31" s="48"/>
      <c r="W31" s="48"/>
      <c r="X31" s="48"/>
      <c r="AA31" s="14"/>
      <c r="AB31" s="14"/>
    </row>
    <row r="32" spans="1:31" ht="20" customHeight="1" x14ac:dyDescent="0.15">
      <c r="AA32" s="15"/>
      <c r="AB32" s="14"/>
    </row>
    <row r="33" spans="8:28" ht="20" customHeight="1" x14ac:dyDescent="0.15">
      <c r="H33" s="35"/>
      <c r="AA33" s="14"/>
      <c r="AB33" s="15"/>
    </row>
    <row r="34" spans="8:28" ht="20" customHeight="1" x14ac:dyDescent="0.15">
      <c r="AB34" s="35"/>
    </row>
  </sheetData>
  <mergeCells count="27">
    <mergeCell ref="M2:M31"/>
    <mergeCell ref="N19:Y19"/>
    <mergeCell ref="V21:V28"/>
    <mergeCell ref="W21:W28"/>
    <mergeCell ref="X21:X28"/>
    <mergeCell ref="P21:P28"/>
    <mergeCell ref="Q21:Q28"/>
    <mergeCell ref="R21:R28"/>
    <mergeCell ref="S21:S28"/>
    <mergeCell ref="T21:T28"/>
    <mergeCell ref="N3:N18"/>
    <mergeCell ref="A1:Y1"/>
    <mergeCell ref="B21:B28"/>
    <mergeCell ref="C21:C28"/>
    <mergeCell ref="D21:D28"/>
    <mergeCell ref="E21:E28"/>
    <mergeCell ref="F21:F28"/>
    <mergeCell ref="G21:G28"/>
    <mergeCell ref="H21:H28"/>
    <mergeCell ref="I21:I28"/>
    <mergeCell ref="J21:J28"/>
    <mergeCell ref="K21:K28"/>
    <mergeCell ref="L21:L28"/>
    <mergeCell ref="N21:N28"/>
    <mergeCell ref="O21:O28"/>
    <mergeCell ref="A19:L19"/>
    <mergeCell ref="U21:U28"/>
  </mergeCells>
  <phoneticPr fontId="3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GOLES - 4M 2025_2026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GARCIA ALONSO</cp:lastModifiedBy>
  <dcterms:modified xsi:type="dcterms:W3CDTF">2026-03-18T14:05:11Z</dcterms:modified>
</cp:coreProperties>
</file>